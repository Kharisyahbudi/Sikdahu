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SI PEMERINTAHAN\LAPORAN PENDUDUK\LAPORAN 2026\"/>
    </mc:Choice>
  </mc:AlternateContent>
  <bookViews>
    <workbookView xWindow="360" yWindow="105" windowWidth="14355" windowHeight="4695"/>
  </bookViews>
  <sheets>
    <sheet name="REKAP" sheetId="3" r:id="rId1"/>
    <sheet name="MATI" sheetId="4" r:id="rId2"/>
    <sheet name="LAHIR" sheetId="5" r:id="rId3"/>
    <sheet name="DATANG" sheetId="6" r:id="rId4"/>
    <sheet name="PINDAH" sheetId="7" r:id="rId5"/>
  </sheets>
  <definedNames>
    <definedName name="_xlnm.Print_Area" localSheetId="3">DATANG!$A$1:$J$18</definedName>
    <definedName name="_xlnm.Print_Area" localSheetId="4">PINDAH!$A$1:$J$20</definedName>
    <definedName name="_xlnm.Print_Area" localSheetId="0">REKAP!$A$1:$Z$23</definedName>
  </definedNames>
  <calcPr calcId="152511"/>
  <fileRecoveryPr repairLoad="1"/>
</workbook>
</file>

<file path=xl/calcChain.xml><?xml version="1.0" encoding="utf-8"?>
<calcChain xmlns="http://schemas.openxmlformats.org/spreadsheetml/2006/main">
  <c r="Z15" i="3" l="1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Z14" i="3"/>
  <c r="Y14" i="3"/>
  <c r="T14" i="3"/>
  <c r="S14" i="3"/>
  <c r="R14" i="3"/>
  <c r="Q14" i="3"/>
  <c r="N14" i="3"/>
  <c r="K14" i="3"/>
  <c r="H14" i="3"/>
  <c r="E14" i="3"/>
  <c r="Z13" i="3"/>
  <c r="Y13" i="3"/>
  <c r="T13" i="3"/>
  <c r="S13" i="3"/>
  <c r="R13" i="3"/>
  <c r="Q13" i="3"/>
  <c r="N13" i="3"/>
  <c r="K13" i="3"/>
  <c r="H13" i="3"/>
  <c r="E13" i="3"/>
  <c r="Z12" i="3"/>
  <c r="Y12" i="3"/>
  <c r="T12" i="3"/>
  <c r="S12" i="3"/>
  <c r="R12" i="3"/>
  <c r="Q12" i="3"/>
  <c r="N12" i="3"/>
  <c r="K12" i="3"/>
  <c r="H12" i="3"/>
  <c r="E12" i="3"/>
  <c r="Z11" i="3"/>
  <c r="Y11" i="3"/>
  <c r="T11" i="3"/>
  <c r="S11" i="3"/>
  <c r="R11" i="3"/>
  <c r="Q11" i="3"/>
  <c r="N11" i="3"/>
  <c r="K11" i="3"/>
  <c r="H11" i="3"/>
  <c r="E11" i="3"/>
  <c r="Z10" i="3"/>
  <c r="Y10" i="3"/>
  <c r="T10" i="3"/>
  <c r="S10" i="3"/>
  <c r="R10" i="3"/>
  <c r="Q10" i="3"/>
  <c r="N10" i="3"/>
  <c r="K10" i="3"/>
  <c r="H10" i="3"/>
  <c r="E10" i="3"/>
  <c r="Z9" i="3"/>
  <c r="Y9" i="3"/>
  <c r="T9" i="3"/>
  <c r="S9" i="3"/>
  <c r="R9" i="3"/>
  <c r="Q9" i="3"/>
  <c r="N9" i="3"/>
  <c r="K9" i="3"/>
  <c r="H9" i="3"/>
  <c r="E9" i="3"/>
  <c r="Z8" i="3"/>
  <c r="Y8" i="3"/>
  <c r="T8" i="3"/>
  <c r="S8" i="3"/>
  <c r="R8" i="3"/>
  <c r="Q8" i="3"/>
  <c r="N8" i="3"/>
  <c r="K8" i="3"/>
  <c r="H8" i="3"/>
  <c r="E8" i="3"/>
  <c r="Z7" i="3"/>
  <c r="Y7" i="3"/>
  <c r="T7" i="3"/>
  <c r="S7" i="3"/>
  <c r="R7" i="3"/>
  <c r="Q7" i="3"/>
  <c r="N7" i="3"/>
  <c r="K7" i="3"/>
  <c r="H7" i="3"/>
  <c r="E7" i="3"/>
</calcChain>
</file>

<file path=xl/sharedStrings.xml><?xml version="1.0" encoding="utf-8"?>
<sst xmlns="http://schemas.openxmlformats.org/spreadsheetml/2006/main" count="196" uniqueCount="97">
  <si>
    <t>DESA CIDAHU</t>
  </si>
  <si>
    <t>NO.</t>
  </si>
  <si>
    <t>NIK</t>
  </si>
  <si>
    <t>NAMA LENGKAP</t>
  </si>
  <si>
    <t>JENIS KELAMIN</t>
  </si>
  <si>
    <t>TEMPAT TANGGAL LAHIR</t>
  </si>
  <si>
    <t>ALAMAT</t>
  </si>
  <si>
    <t>RT</t>
  </si>
  <si>
    <t>RW</t>
  </si>
  <si>
    <t>TANGGAL MENINGGAL</t>
  </si>
  <si>
    <t>L</t>
  </si>
  <si>
    <t>P</t>
  </si>
  <si>
    <t>ENJANG HELIGAOS</t>
  </si>
  <si>
    <t>KETERANGAN</t>
  </si>
  <si>
    <t>TANGGAL DATANG</t>
  </si>
  <si>
    <t>TANGGAL PINDAH</t>
  </si>
  <si>
    <t>LAPORAN REGISTRASI KEPENDUDUKAN DESA CIDAHU</t>
  </si>
  <si>
    <t>RUKUN TETANGGA</t>
  </si>
  <si>
    <t>JUMLAH PENDUDUK BULAN LALU</t>
  </si>
  <si>
    <t>BULAN INI</t>
  </si>
  <si>
    <t>JUMLAH PENDUDUK S/D BULAN INI</t>
  </si>
  <si>
    <t>JUMLAH KK</t>
  </si>
  <si>
    <t>JUMLAH WAJIB KTP</t>
  </si>
  <si>
    <t>JUMLAH YANG SUDAH MEMILIKI</t>
  </si>
  <si>
    <t>JUMLAH YANG BELUM MEMILIKI</t>
  </si>
  <si>
    <t>LAHIR</t>
  </si>
  <si>
    <t>MATI</t>
  </si>
  <si>
    <t>DATANG</t>
  </si>
  <si>
    <t>PINDAH</t>
  </si>
  <si>
    <t>JML</t>
  </si>
  <si>
    <t>KTP</t>
  </si>
  <si>
    <t>KK</t>
  </si>
  <si>
    <t>RT. 001</t>
  </si>
  <si>
    <t>RT. 002</t>
  </si>
  <si>
    <t>RT. 003</t>
  </si>
  <si>
    <t>RT. 004</t>
  </si>
  <si>
    <t>RT. 005</t>
  </si>
  <si>
    <t>RT. 006</t>
  </si>
  <si>
    <t>RT. 007</t>
  </si>
  <si>
    <t>RT. 008</t>
  </si>
  <si>
    <t>JUMLAH</t>
  </si>
  <si>
    <t>Kasi Pemerintahan,</t>
  </si>
  <si>
    <t>1</t>
  </si>
  <si>
    <t>KEPALA DESA,</t>
  </si>
  <si>
    <t>2</t>
  </si>
  <si>
    <t>KP.CIDAHU</t>
  </si>
  <si>
    <t>3</t>
  </si>
  <si>
    <t>4</t>
  </si>
  <si>
    <t>HAPIDIN</t>
  </si>
  <si>
    <t>ERIN NURENI</t>
  </si>
  <si>
    <t>IRFAN KAMAL</t>
  </si>
  <si>
    <t>AULIA RAHMAH</t>
  </si>
  <si>
    <t>3214100107840005</t>
  </si>
  <si>
    <t>3214106910970001</t>
  </si>
  <si>
    <t>3214101906170003</t>
  </si>
  <si>
    <t>3214105205230001</t>
  </si>
  <si>
    <t>007</t>
  </si>
  <si>
    <t>004</t>
  </si>
  <si>
    <t>02 FEBRUARI</t>
  </si>
  <si>
    <t>PURWAKARTA, 01/07/1984</t>
  </si>
  <si>
    <t>PURWAKARTA, 19/10/1997</t>
  </si>
  <si>
    <t>PURWAKARTA, 19/06/2017</t>
  </si>
  <si>
    <t>PURWAKARTA. 12/05/2023</t>
  </si>
  <si>
    <t>BULAN : FEBRUARI 2026</t>
  </si>
  <si>
    <t>LAPORAN KEMATIAN BULAN FEBRUARI 2026</t>
  </si>
  <si>
    <t>LAPORAN KELAHIRAN BULAN FEBRUARI 2026</t>
  </si>
  <si>
    <t>LAPORAN DATANG BULAN FEBRUARI 2026</t>
  </si>
  <si>
    <t>LAPORAN PINDAH BULAN FEBRUARI 2026</t>
  </si>
  <si>
    <t>NENENG SITI NURJANAH</t>
  </si>
  <si>
    <t>3214105801720001</t>
  </si>
  <si>
    <t>PURWAKARTA, 18/01/1972</t>
  </si>
  <si>
    <t>KP. CIDAHU</t>
  </si>
  <si>
    <t>003</t>
  </si>
  <si>
    <t>002</t>
  </si>
  <si>
    <t>09 FEBRUARI 2026</t>
  </si>
  <si>
    <t>M. ARIEF KHARISYAHBUDI</t>
  </si>
  <si>
    <t>3214101008090001</t>
  </si>
  <si>
    <t>ADI PERMANA SW</t>
  </si>
  <si>
    <t>PURWAKARTA, 10/08/2008</t>
  </si>
  <si>
    <t>PURWAKARTA, 29/08/2012</t>
  </si>
  <si>
    <t>TIRTA PRATAMA SW</t>
  </si>
  <si>
    <t>3214102908120001</t>
  </si>
  <si>
    <t>3214100101360004</t>
  </si>
  <si>
    <t>ROI</t>
  </si>
  <si>
    <t>Purwakarta, 01/01/1936</t>
  </si>
  <si>
    <t>008</t>
  </si>
  <si>
    <t>11 Februari 2026</t>
  </si>
  <si>
    <t>3214101206450000</t>
  </si>
  <si>
    <t>DIDIN SURYADIN</t>
  </si>
  <si>
    <t>Purwakarta, 12/06/1945</t>
  </si>
  <si>
    <t>09 Februari 2026</t>
  </si>
  <si>
    <t>CIDAHU,  02 MARET 2026</t>
  </si>
  <si>
    <t>CIDAHU, 02 MARET 2026</t>
  </si>
  <si>
    <t>CIDAHU,   02 MARET 2026</t>
  </si>
  <si>
    <t>a.n KEPALA DESA,</t>
  </si>
  <si>
    <t>Sekretaris Desa</t>
  </si>
  <si>
    <t>WAWAN HERMANSYAH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</si>
</sst>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3" fillId="2" borderId="0" applyNumberFormat="0" applyBorder="0" applyAlignment="0" applyProtection="0"/>
  </cellStyleXfs>
  <cellXfs count="96">
    <xf numFmtId="0" fontId="0" fillId="0" borderId="0" xfId="0"/>
    <xf numFmtId="0" fontId="0" fillId="0" borderId="0" xfId="0"/>
    <xf numFmtId="49" fontId="8" fillId="0" borderId="1" xfId="1" applyNumberFormat="1" applyBorder="1" applyAlignment="1">
      <alignment horizontal="center" vertical="center"/>
    </xf>
    <xf numFmtId="49" fontId="8" fillId="0" borderId="2" xfId="1" applyNumberFormat="1" applyBorder="1" applyAlignment="1">
      <alignment horizontal="center"/>
    </xf>
    <xf numFmtId="49" fontId="8" fillId="0" borderId="0" xfId="1" applyNumberForma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8" fillId="0" borderId="1" xfId="1" applyBorder="1" applyAlignment="1">
      <alignment horizontal="center"/>
    </xf>
    <xf numFmtId="0" fontId="8" fillId="0" borderId="1" xfId="1" applyBorder="1"/>
    <xf numFmtId="0" fontId="8" fillId="0" borderId="2" xfId="1" applyBorder="1" applyAlignment="1">
      <alignment horizontal="center"/>
    </xf>
    <xf numFmtId="0" fontId="8" fillId="0" borderId="2" xfId="1" applyBorder="1"/>
    <xf numFmtId="0" fontId="8" fillId="0" borderId="0" xfId="1" applyBorder="1" applyAlignment="1">
      <alignment horizontal="center"/>
    </xf>
    <xf numFmtId="0" fontId="8" fillId="0" borderId="0" xfId="1" applyBorder="1"/>
    <xf numFmtId="1" fontId="8" fillId="0" borderId="0" xfId="1" applyNumberFormat="1" applyBorder="1" applyAlignment="1">
      <alignment horizontal="center"/>
    </xf>
    <xf numFmtId="49" fontId="8" fillId="0" borderId="1" xfId="1" applyNumberFormat="1" applyBorder="1" applyAlignment="1">
      <alignment horizontal="center"/>
    </xf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0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0" fillId="0" borderId="2" xfId="0" applyBorder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/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0" fillId="0" borderId="0" xfId="0" applyNumberFormat="1" applyBorder="1"/>
    <xf numFmtId="49" fontId="10" fillId="0" borderId="0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49" fontId="8" fillId="0" borderId="2" xfId="1" applyNumberFormat="1" applyBorder="1"/>
    <xf numFmtId="0" fontId="0" fillId="0" borderId="0" xfId="0"/>
    <xf numFmtId="49" fontId="8" fillId="0" borderId="1" xfId="1" applyNumberFormat="1" applyBorder="1"/>
    <xf numFmtId="49" fontId="8" fillId="0" borderId="2" xfId="1" applyNumberFormat="1" applyBorder="1"/>
    <xf numFmtId="49" fontId="10" fillId="0" borderId="1" xfId="1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0" fontId="8" fillId="0" borderId="0" xfId="1"/>
    <xf numFmtId="0" fontId="8" fillId="0" borderId="0" xfId="1" applyAlignment="1">
      <alignment horizontal="center"/>
    </xf>
    <xf numFmtId="164" fontId="8" fillId="0" borderId="1" xfId="1" applyNumberFormat="1" applyBorder="1" applyAlignment="1">
      <alignment vertical="center"/>
    </xf>
    <xf numFmtId="164" fontId="11" fillId="0" borderId="1" xfId="1" applyNumberFormat="1" applyFont="1" applyBorder="1" applyAlignment="1">
      <alignment vertical="center"/>
    </xf>
    <xf numFmtId="164" fontId="8" fillId="0" borderId="0" xfId="1" applyNumberFormat="1"/>
    <xf numFmtId="0" fontId="0" fillId="0" borderId="0" xfId="0" applyAlignment="1">
      <alignment horizontal="center"/>
    </xf>
    <xf numFmtId="0" fontId="11" fillId="0" borderId="1" xfId="1" applyFont="1" applyBorder="1" applyAlignment="1">
      <alignment horizontal="center" vertical="center"/>
    </xf>
    <xf numFmtId="164" fontId="8" fillId="0" borderId="1" xfId="1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10" fillId="0" borderId="1" xfId="1" applyNumberFormat="1" applyFont="1" applyBorder="1" applyAlignment="1">
      <alignment vertical="center"/>
    </xf>
    <xf numFmtId="164" fontId="11" fillId="0" borderId="1" xfId="1" applyNumberFormat="1" applyFont="1" applyBorder="1" applyAlignment="1">
      <alignment horizontal="center" vertical="center"/>
    </xf>
    <xf numFmtId="0" fontId="8" fillId="0" borderId="0" xfId="1" applyFill="1"/>
    <xf numFmtId="0" fontId="11" fillId="0" borderId="1" xfId="0" applyFont="1" applyBorder="1"/>
    <xf numFmtId="14" fontId="0" fillId="0" borderId="0" xfId="0" applyNumberFormat="1" applyFont="1" applyBorder="1" applyAlignment="1">
      <alignment horizontal="center"/>
    </xf>
    <xf numFmtId="49" fontId="10" fillId="0" borderId="1" xfId="1" applyNumberFormat="1" applyFont="1" applyBorder="1" applyAlignment="1">
      <alignment horizontal="center" vertical="center"/>
    </xf>
    <xf numFmtId="0" fontId="8" fillId="0" borderId="1" xfId="1" applyFill="1" applyBorder="1"/>
    <xf numFmtId="49" fontId="12" fillId="0" borderId="1" xfId="1" applyNumberFormat="1" applyFont="1" applyBorder="1" applyAlignment="1">
      <alignment horizontal="center" vertical="center"/>
    </xf>
    <xf numFmtId="49" fontId="12" fillId="0" borderId="1" xfId="1" quotePrefix="1" applyNumberFormat="1" applyFont="1" applyBorder="1" applyAlignment="1">
      <alignment horizontal="center" vertical="center"/>
    </xf>
    <xf numFmtId="49" fontId="0" fillId="3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/>
    <xf numFmtId="49" fontId="12" fillId="0" borderId="1" xfId="1" applyNumberFormat="1" applyFont="1" applyBorder="1" applyAlignment="1">
      <alignment horizontal="center"/>
    </xf>
    <xf numFmtId="49" fontId="10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/>
    <xf numFmtId="49" fontId="4" fillId="0" borderId="1" xfId="1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/>
    </xf>
    <xf numFmtId="49" fontId="2" fillId="0" borderId="1" xfId="1" applyNumberFormat="1" applyFont="1" applyBorder="1" applyAlignment="1">
      <alignment vertical="center"/>
    </xf>
    <xf numFmtId="0" fontId="2" fillId="0" borderId="1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applyFont="1" applyBorder="1"/>
    <xf numFmtId="0" fontId="8" fillId="0" borderId="0" xfId="1" applyAlignment="1">
      <alignment horizontal="center"/>
    </xf>
    <xf numFmtId="49" fontId="8" fillId="0" borderId="0" xfId="1" applyNumberFormat="1" applyBorder="1" applyAlignment="1">
      <alignment horizontal="center"/>
    </xf>
    <xf numFmtId="0" fontId="9" fillId="0" borderId="0" xfId="1" applyFont="1" applyAlignment="1">
      <alignment horizont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8" fillId="0" borderId="0" xfId="1" applyAlignment="1">
      <alignment horizontal="center"/>
    </xf>
    <xf numFmtId="0" fontId="11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49" fontId="10" fillId="0" borderId="0" xfId="1" applyNumberFormat="1" applyFont="1" applyBorder="1" applyAlignment="1">
      <alignment horizontal="center"/>
    </xf>
    <xf numFmtId="49" fontId="11" fillId="0" borderId="0" xfId="1" applyNumberFormat="1" applyFont="1" applyBorder="1" applyAlignment="1">
      <alignment horizontal="center"/>
    </xf>
    <xf numFmtId="49" fontId="10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/>
    </xf>
    <xf numFmtId="49" fontId="7" fillId="0" borderId="0" xfId="1" applyNumberFormat="1" applyFont="1" applyBorder="1" applyAlignment="1">
      <alignment horizontal="center"/>
    </xf>
    <xf numFmtId="49" fontId="1" fillId="0" borderId="0" xfId="1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9" fillId="0" borderId="0" xfId="1" applyNumberFormat="1" applyFont="1" applyAlignment="1">
      <alignment horizontal="center"/>
    </xf>
    <xf numFmtId="49" fontId="6" fillId="0" borderId="0" xfId="1" applyNumberFormat="1" applyFont="1" applyBorder="1" applyAlignment="1">
      <alignment horizontal="center"/>
    </xf>
    <xf numFmtId="49" fontId="8" fillId="0" borderId="0" xfId="1" applyNumberFormat="1" applyBorder="1" applyAlignment="1">
      <alignment horizontal="center"/>
    </xf>
  </cellXfs>
  <cellStyles count="3">
    <cellStyle name="Accent1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abSelected="1" topLeftCell="N1" zoomScale="85" zoomScaleNormal="85" workbookViewId="0">
      <selection activeCell="AD15" sqref="AD15"/>
    </sheetView>
  </sheetViews>
  <sheetFormatPr defaultRowHeight="15" x14ac:dyDescent="0.25"/>
  <cols>
    <col min="1" max="1" width="3.7109375" style="31" customWidth="1"/>
    <col min="2" max="2" width="10.7109375" style="31" customWidth="1"/>
    <col min="3" max="3" width="5.5703125" style="31" customWidth="1"/>
    <col min="4" max="4" width="6.42578125" style="31" customWidth="1"/>
    <col min="5" max="5" width="6.85546875" style="31" customWidth="1"/>
    <col min="6" max="6" width="3.7109375" style="31" customWidth="1"/>
    <col min="7" max="7" width="3.5703125" style="31" customWidth="1"/>
    <col min="8" max="9" width="3.7109375" style="31" customWidth="1"/>
    <col min="10" max="10" width="4" style="31" customWidth="1"/>
    <col min="11" max="11" width="3.85546875" style="31" customWidth="1"/>
    <col min="12" max="12" width="3.7109375" style="31" customWidth="1"/>
    <col min="13" max="14" width="4.140625" style="31" customWidth="1"/>
    <col min="15" max="15" width="3.5703125" style="31" customWidth="1"/>
    <col min="16" max="16" width="4.140625" style="31" customWidth="1"/>
    <col min="17" max="17" width="4.28515625" style="31" customWidth="1"/>
    <col min="18" max="18" width="6.28515625" style="31" customWidth="1"/>
    <col min="19" max="19" width="6.42578125" style="31" customWidth="1"/>
    <col min="20" max="20" width="7" style="31" customWidth="1"/>
    <col min="21" max="21" width="8.5703125" style="42" customWidth="1"/>
    <col min="22" max="22" width="9.140625" style="31"/>
    <col min="23" max="24" width="8.7109375" style="31" customWidth="1"/>
    <col min="25" max="26" width="8.42578125" style="31" customWidth="1"/>
    <col min="27" max="16384" width="9.140625" style="31"/>
  </cols>
  <sheetData>
    <row r="1" spans="1:26" ht="18.75" x14ac:dyDescent="0.3">
      <c r="A1" s="71" t="s">
        <v>16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8.75" x14ac:dyDescent="0.3">
      <c r="A2" s="71" t="s">
        <v>63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8"/>
      <c r="V3" s="37"/>
      <c r="W3" s="37"/>
      <c r="X3" s="37"/>
      <c r="Y3" s="37"/>
      <c r="Z3" s="37"/>
    </row>
    <row r="4" spans="1:26" ht="15.75" x14ac:dyDescent="0.25">
      <c r="A4" s="72" t="s">
        <v>1</v>
      </c>
      <c r="B4" s="73" t="s">
        <v>17</v>
      </c>
      <c r="C4" s="73" t="s">
        <v>18</v>
      </c>
      <c r="D4" s="73"/>
      <c r="E4" s="73"/>
      <c r="F4" s="74" t="s">
        <v>19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3" t="s">
        <v>20</v>
      </c>
      <c r="S4" s="73"/>
      <c r="T4" s="73"/>
      <c r="U4" s="73" t="s">
        <v>21</v>
      </c>
      <c r="V4" s="73" t="s">
        <v>22</v>
      </c>
      <c r="W4" s="73" t="s">
        <v>23</v>
      </c>
      <c r="X4" s="73"/>
      <c r="Y4" s="73" t="s">
        <v>24</v>
      </c>
      <c r="Z4" s="73"/>
    </row>
    <row r="5" spans="1:26" x14ac:dyDescent="0.25">
      <c r="A5" s="72"/>
      <c r="B5" s="73"/>
      <c r="C5" s="73"/>
      <c r="D5" s="73"/>
      <c r="E5" s="73"/>
      <c r="F5" s="72" t="s">
        <v>25</v>
      </c>
      <c r="G5" s="72"/>
      <c r="H5" s="72"/>
      <c r="I5" s="72" t="s">
        <v>26</v>
      </c>
      <c r="J5" s="72"/>
      <c r="K5" s="72"/>
      <c r="L5" s="72" t="s">
        <v>27</v>
      </c>
      <c r="M5" s="72"/>
      <c r="N5" s="72"/>
      <c r="O5" s="72" t="s">
        <v>28</v>
      </c>
      <c r="P5" s="72"/>
      <c r="Q5" s="72"/>
      <c r="R5" s="73"/>
      <c r="S5" s="73"/>
      <c r="T5" s="73"/>
      <c r="U5" s="73"/>
      <c r="V5" s="73"/>
      <c r="W5" s="73"/>
      <c r="X5" s="73"/>
      <c r="Y5" s="73"/>
      <c r="Z5" s="73"/>
    </row>
    <row r="6" spans="1:26" x14ac:dyDescent="0.25">
      <c r="A6" s="72"/>
      <c r="B6" s="73"/>
      <c r="C6" s="43" t="s">
        <v>10</v>
      </c>
      <c r="D6" s="43" t="s">
        <v>11</v>
      </c>
      <c r="E6" s="43" t="s">
        <v>29</v>
      </c>
      <c r="F6" s="43" t="s">
        <v>10</v>
      </c>
      <c r="G6" s="43" t="s">
        <v>11</v>
      </c>
      <c r="H6" s="43" t="s">
        <v>29</v>
      </c>
      <c r="I6" s="43" t="s">
        <v>10</v>
      </c>
      <c r="J6" s="43" t="s">
        <v>11</v>
      </c>
      <c r="K6" s="43" t="s">
        <v>29</v>
      </c>
      <c r="L6" s="43" t="s">
        <v>10</v>
      </c>
      <c r="M6" s="43" t="s">
        <v>11</v>
      </c>
      <c r="N6" s="43" t="s">
        <v>29</v>
      </c>
      <c r="O6" s="43" t="s">
        <v>10</v>
      </c>
      <c r="P6" s="43" t="s">
        <v>11</v>
      </c>
      <c r="Q6" s="43" t="s">
        <v>29</v>
      </c>
      <c r="R6" s="43" t="s">
        <v>10</v>
      </c>
      <c r="S6" s="43" t="s">
        <v>11</v>
      </c>
      <c r="T6" s="43" t="s">
        <v>29</v>
      </c>
      <c r="U6" s="73"/>
      <c r="V6" s="73"/>
      <c r="W6" s="43" t="s">
        <v>30</v>
      </c>
      <c r="X6" s="43" t="s">
        <v>31</v>
      </c>
      <c r="Y6" s="43" t="s">
        <v>30</v>
      </c>
      <c r="Z6" s="43" t="s">
        <v>31</v>
      </c>
    </row>
    <row r="7" spans="1:26" x14ac:dyDescent="0.25">
      <c r="A7" s="44">
        <v>1</v>
      </c>
      <c r="B7" s="39" t="s">
        <v>32</v>
      </c>
      <c r="C7" s="7">
        <v>157</v>
      </c>
      <c r="D7" s="7">
        <v>144</v>
      </c>
      <c r="E7" s="39">
        <f>SUM(C7:D7)</f>
        <v>301</v>
      </c>
      <c r="F7" s="39">
        <v>0</v>
      </c>
      <c r="G7" s="39">
        <v>0</v>
      </c>
      <c r="H7" s="39">
        <f>SUM(F7:G7)</f>
        <v>0</v>
      </c>
      <c r="I7" s="39">
        <v>0</v>
      </c>
      <c r="J7" s="39">
        <v>0</v>
      </c>
      <c r="K7" s="39">
        <f>SUM(I7:J7)</f>
        <v>0</v>
      </c>
      <c r="L7" s="39">
        <v>0</v>
      </c>
      <c r="M7" s="39">
        <v>0</v>
      </c>
      <c r="N7" s="39">
        <f t="shared" ref="N7:N14" si="0">SUM(L7:M7)</f>
        <v>0</v>
      </c>
      <c r="O7" s="39">
        <v>0</v>
      </c>
      <c r="P7" s="39">
        <v>0</v>
      </c>
      <c r="Q7" s="39">
        <f t="shared" ref="Q7:Q14" si="1">SUM(O7:P7)</f>
        <v>0</v>
      </c>
      <c r="R7" s="39">
        <f>SUM(C7+F7+L7-I7-O7)</f>
        <v>157</v>
      </c>
      <c r="S7" s="39">
        <f>SUM(D7+G7-J7+M7-P7)</f>
        <v>144</v>
      </c>
      <c r="T7" s="39">
        <f>SUM(R7+S7)</f>
        <v>301</v>
      </c>
      <c r="U7" s="39">
        <v>100</v>
      </c>
      <c r="V7" s="45">
        <v>201</v>
      </c>
      <c r="W7" s="45">
        <v>198</v>
      </c>
      <c r="X7" s="39">
        <v>100</v>
      </c>
      <c r="Y7" s="39">
        <f>SUM(V7-W7)</f>
        <v>3</v>
      </c>
      <c r="Z7" s="39">
        <f>SUM(U7-X7)</f>
        <v>0</v>
      </c>
    </row>
    <row r="8" spans="1:26" x14ac:dyDescent="0.25">
      <c r="A8" s="44">
        <v>2</v>
      </c>
      <c r="B8" s="39" t="s">
        <v>33</v>
      </c>
      <c r="C8" s="20">
        <v>101</v>
      </c>
      <c r="D8" s="20">
        <v>97</v>
      </c>
      <c r="E8" s="39">
        <f t="shared" ref="E8:E14" si="2">SUM(C8:D8)</f>
        <v>198</v>
      </c>
      <c r="F8" s="39">
        <v>0</v>
      </c>
      <c r="G8" s="39">
        <v>0</v>
      </c>
      <c r="H8" s="39">
        <f t="shared" ref="H8:H14" si="3">SUM(F8:G8)</f>
        <v>0</v>
      </c>
      <c r="I8" s="39">
        <v>0</v>
      </c>
      <c r="J8" s="39">
        <v>0</v>
      </c>
      <c r="K8" s="39">
        <f t="shared" ref="K8:K14" si="4">SUM(I8:J8)</f>
        <v>0</v>
      </c>
      <c r="L8" s="39">
        <v>0</v>
      </c>
      <c r="M8" s="39">
        <v>0</v>
      </c>
      <c r="N8" s="39">
        <f t="shared" si="0"/>
        <v>0</v>
      </c>
      <c r="O8" s="39">
        <v>0</v>
      </c>
      <c r="P8" s="39">
        <v>0</v>
      </c>
      <c r="Q8" s="39">
        <f t="shared" si="1"/>
        <v>0</v>
      </c>
      <c r="R8" s="39">
        <f t="shared" ref="R8:R14" si="5">SUM(C8+F8+L8-I8-O8)</f>
        <v>101</v>
      </c>
      <c r="S8" s="39">
        <f t="shared" ref="S8:S14" si="6">SUM(D8+G8-J8+M8-P8)</f>
        <v>97</v>
      </c>
      <c r="T8" s="39">
        <f t="shared" ref="T8:T14" si="7">SUM(R8+S8)</f>
        <v>198</v>
      </c>
      <c r="U8" s="39">
        <v>77</v>
      </c>
      <c r="V8" s="45">
        <v>138</v>
      </c>
      <c r="W8" s="45">
        <v>136</v>
      </c>
      <c r="X8" s="39">
        <v>76</v>
      </c>
      <c r="Y8" s="39">
        <f t="shared" ref="Y8:Y14" si="8">SUM(V8-W8)</f>
        <v>2</v>
      </c>
      <c r="Z8" s="39">
        <f t="shared" ref="Z8:Z14" si="9">SUM(U8-X8)</f>
        <v>1</v>
      </c>
    </row>
    <row r="9" spans="1:26" x14ac:dyDescent="0.25">
      <c r="A9" s="44">
        <v>3</v>
      </c>
      <c r="B9" s="39" t="s">
        <v>34</v>
      </c>
      <c r="C9" s="20">
        <v>148</v>
      </c>
      <c r="D9" s="20">
        <v>135</v>
      </c>
      <c r="E9" s="39">
        <f t="shared" si="2"/>
        <v>283</v>
      </c>
      <c r="F9" s="39">
        <v>0</v>
      </c>
      <c r="G9" s="39">
        <v>0</v>
      </c>
      <c r="H9" s="39">
        <f t="shared" si="3"/>
        <v>0</v>
      </c>
      <c r="I9" s="39">
        <v>0</v>
      </c>
      <c r="J9" s="39">
        <v>0</v>
      </c>
      <c r="K9" s="39">
        <f t="shared" si="4"/>
        <v>0</v>
      </c>
      <c r="L9" s="39">
        <v>0</v>
      </c>
      <c r="M9" s="39">
        <v>0</v>
      </c>
      <c r="N9" s="39">
        <f t="shared" si="0"/>
        <v>0</v>
      </c>
      <c r="O9" s="39">
        <v>2</v>
      </c>
      <c r="P9" s="39">
        <v>1</v>
      </c>
      <c r="Q9" s="39">
        <f t="shared" si="1"/>
        <v>3</v>
      </c>
      <c r="R9" s="39">
        <f t="shared" si="5"/>
        <v>146</v>
      </c>
      <c r="S9" s="39">
        <f t="shared" si="6"/>
        <v>134</v>
      </c>
      <c r="T9" s="39">
        <f t="shared" si="7"/>
        <v>280</v>
      </c>
      <c r="U9" s="39">
        <v>105</v>
      </c>
      <c r="V9" s="45">
        <v>194</v>
      </c>
      <c r="W9" s="45">
        <v>191</v>
      </c>
      <c r="X9" s="39">
        <v>103</v>
      </c>
      <c r="Y9" s="39">
        <f t="shared" si="8"/>
        <v>3</v>
      </c>
      <c r="Z9" s="39">
        <f t="shared" si="9"/>
        <v>2</v>
      </c>
    </row>
    <row r="10" spans="1:26" x14ac:dyDescent="0.25">
      <c r="A10" s="44">
        <v>4</v>
      </c>
      <c r="B10" s="39" t="s">
        <v>35</v>
      </c>
      <c r="C10" s="52">
        <v>80</v>
      </c>
      <c r="D10" s="52">
        <v>90</v>
      </c>
      <c r="E10" s="39">
        <f t="shared" si="2"/>
        <v>170</v>
      </c>
      <c r="F10" s="39">
        <v>0</v>
      </c>
      <c r="G10" s="39">
        <v>0</v>
      </c>
      <c r="H10" s="39">
        <f t="shared" si="3"/>
        <v>0</v>
      </c>
      <c r="I10" s="39">
        <v>1</v>
      </c>
      <c r="J10" s="39">
        <v>0</v>
      </c>
      <c r="K10" s="39">
        <f t="shared" si="4"/>
        <v>1</v>
      </c>
      <c r="L10" s="39">
        <v>0</v>
      </c>
      <c r="M10" s="39">
        <v>0</v>
      </c>
      <c r="N10" s="39">
        <f t="shared" si="0"/>
        <v>0</v>
      </c>
      <c r="O10" s="39">
        <v>0</v>
      </c>
      <c r="P10" s="39">
        <v>0</v>
      </c>
      <c r="Q10" s="39">
        <f t="shared" si="1"/>
        <v>0</v>
      </c>
      <c r="R10" s="39">
        <f t="shared" si="5"/>
        <v>79</v>
      </c>
      <c r="S10" s="39">
        <f t="shared" si="6"/>
        <v>90</v>
      </c>
      <c r="T10" s="39">
        <f t="shared" si="7"/>
        <v>169</v>
      </c>
      <c r="U10" s="39">
        <v>59</v>
      </c>
      <c r="V10" s="45">
        <v>119</v>
      </c>
      <c r="W10" s="45">
        <v>117</v>
      </c>
      <c r="X10" s="39">
        <v>59</v>
      </c>
      <c r="Y10" s="39">
        <f t="shared" si="8"/>
        <v>2</v>
      </c>
      <c r="Z10" s="39">
        <f t="shared" si="9"/>
        <v>0</v>
      </c>
    </row>
    <row r="11" spans="1:26" x14ac:dyDescent="0.25">
      <c r="A11" s="44">
        <v>5</v>
      </c>
      <c r="B11" s="39" t="s">
        <v>36</v>
      </c>
      <c r="C11" s="7">
        <v>81</v>
      </c>
      <c r="D11" s="7">
        <v>86</v>
      </c>
      <c r="E11" s="39">
        <f t="shared" si="2"/>
        <v>167</v>
      </c>
      <c r="F11" s="39">
        <v>0</v>
      </c>
      <c r="G11" s="39">
        <v>0</v>
      </c>
      <c r="H11" s="39">
        <f t="shared" si="3"/>
        <v>0</v>
      </c>
      <c r="I11" s="39">
        <v>0</v>
      </c>
      <c r="J11" s="39">
        <v>0</v>
      </c>
      <c r="K11" s="39">
        <f t="shared" si="4"/>
        <v>0</v>
      </c>
      <c r="L11" s="39">
        <v>0</v>
      </c>
      <c r="M11" s="39">
        <v>0</v>
      </c>
      <c r="N11" s="39">
        <f t="shared" si="0"/>
        <v>0</v>
      </c>
      <c r="O11" s="39">
        <v>0</v>
      </c>
      <c r="P11" s="39">
        <v>0</v>
      </c>
      <c r="Q11" s="39">
        <f t="shared" si="1"/>
        <v>0</v>
      </c>
      <c r="R11" s="39">
        <f t="shared" si="5"/>
        <v>81</v>
      </c>
      <c r="S11" s="39">
        <f t="shared" si="6"/>
        <v>86</v>
      </c>
      <c r="T11" s="39">
        <f t="shared" si="7"/>
        <v>167</v>
      </c>
      <c r="U11" s="39">
        <v>59</v>
      </c>
      <c r="V11" s="45">
        <v>113</v>
      </c>
      <c r="W11" s="45">
        <v>110</v>
      </c>
      <c r="X11" s="39">
        <v>59</v>
      </c>
      <c r="Y11" s="39">
        <f t="shared" si="8"/>
        <v>3</v>
      </c>
      <c r="Z11" s="39">
        <f t="shared" si="9"/>
        <v>0</v>
      </c>
    </row>
    <row r="12" spans="1:26" x14ac:dyDescent="0.25">
      <c r="A12" s="44">
        <v>6</v>
      </c>
      <c r="B12" s="39" t="s">
        <v>37</v>
      </c>
      <c r="C12" s="52">
        <v>111</v>
      </c>
      <c r="D12" s="52">
        <v>106</v>
      </c>
      <c r="E12" s="39">
        <f t="shared" si="2"/>
        <v>217</v>
      </c>
      <c r="F12" s="39">
        <v>0</v>
      </c>
      <c r="G12" s="39">
        <v>0</v>
      </c>
      <c r="H12" s="39">
        <f t="shared" si="3"/>
        <v>0</v>
      </c>
      <c r="I12" s="39">
        <v>0</v>
      </c>
      <c r="J12" s="39">
        <v>0</v>
      </c>
      <c r="K12" s="39">
        <f t="shared" si="4"/>
        <v>0</v>
      </c>
      <c r="L12" s="39">
        <v>0</v>
      </c>
      <c r="M12" s="39">
        <v>0</v>
      </c>
      <c r="N12" s="39">
        <f t="shared" si="0"/>
        <v>0</v>
      </c>
      <c r="O12" s="39">
        <v>0</v>
      </c>
      <c r="P12" s="39">
        <v>0</v>
      </c>
      <c r="Q12" s="39">
        <f t="shared" si="1"/>
        <v>0</v>
      </c>
      <c r="R12" s="39">
        <f t="shared" si="5"/>
        <v>111</v>
      </c>
      <c r="S12" s="39">
        <f t="shared" si="6"/>
        <v>106</v>
      </c>
      <c r="T12" s="39">
        <f t="shared" si="7"/>
        <v>217</v>
      </c>
      <c r="U12" s="39">
        <v>74</v>
      </c>
      <c r="V12" s="45">
        <v>157</v>
      </c>
      <c r="W12" s="45">
        <v>155</v>
      </c>
      <c r="X12" s="39">
        <v>74</v>
      </c>
      <c r="Y12" s="39">
        <f t="shared" si="8"/>
        <v>2</v>
      </c>
      <c r="Z12" s="39">
        <f t="shared" si="9"/>
        <v>0</v>
      </c>
    </row>
    <row r="13" spans="1:26" x14ac:dyDescent="0.25">
      <c r="A13" s="44">
        <v>7</v>
      </c>
      <c r="B13" s="39" t="s">
        <v>38</v>
      </c>
      <c r="C13" s="52">
        <v>155</v>
      </c>
      <c r="D13" s="52">
        <v>155</v>
      </c>
      <c r="E13" s="39">
        <f t="shared" si="2"/>
        <v>310</v>
      </c>
      <c r="F13" s="39">
        <v>0</v>
      </c>
      <c r="G13" s="39">
        <v>0</v>
      </c>
      <c r="H13" s="39">
        <f t="shared" si="3"/>
        <v>0</v>
      </c>
      <c r="I13" s="39">
        <v>0</v>
      </c>
      <c r="J13" s="39">
        <v>0</v>
      </c>
      <c r="K13" s="39">
        <f t="shared" si="4"/>
        <v>0</v>
      </c>
      <c r="L13" s="39">
        <v>2</v>
      </c>
      <c r="M13" s="39">
        <v>2</v>
      </c>
      <c r="N13" s="39">
        <f t="shared" si="0"/>
        <v>4</v>
      </c>
      <c r="O13" s="39">
        <v>0</v>
      </c>
      <c r="P13" s="39">
        <v>0</v>
      </c>
      <c r="Q13" s="39">
        <f t="shared" si="1"/>
        <v>0</v>
      </c>
      <c r="R13" s="39">
        <f t="shared" si="5"/>
        <v>157</v>
      </c>
      <c r="S13" s="39">
        <f t="shared" si="6"/>
        <v>157</v>
      </c>
      <c r="T13" s="39">
        <f t="shared" si="7"/>
        <v>314</v>
      </c>
      <c r="U13" s="39">
        <v>98</v>
      </c>
      <c r="V13" s="45">
        <v>197</v>
      </c>
      <c r="W13" s="45">
        <v>196</v>
      </c>
      <c r="X13" s="39">
        <v>98</v>
      </c>
      <c r="Y13" s="39">
        <f t="shared" si="8"/>
        <v>1</v>
      </c>
      <c r="Z13" s="39">
        <f t="shared" si="9"/>
        <v>0</v>
      </c>
    </row>
    <row r="14" spans="1:26" x14ac:dyDescent="0.25">
      <c r="A14" s="44">
        <v>8</v>
      </c>
      <c r="B14" s="39" t="s">
        <v>39</v>
      </c>
      <c r="C14" s="52">
        <v>78</v>
      </c>
      <c r="D14" s="52">
        <v>89</v>
      </c>
      <c r="E14" s="39">
        <f t="shared" si="2"/>
        <v>167</v>
      </c>
      <c r="F14" s="39">
        <v>0</v>
      </c>
      <c r="G14" s="39">
        <v>0</v>
      </c>
      <c r="H14" s="39">
        <f t="shared" si="3"/>
        <v>0</v>
      </c>
      <c r="I14" s="39">
        <v>1</v>
      </c>
      <c r="J14" s="39">
        <v>0</v>
      </c>
      <c r="K14" s="39">
        <f t="shared" si="4"/>
        <v>1</v>
      </c>
      <c r="L14" s="39">
        <v>0</v>
      </c>
      <c r="M14" s="39">
        <v>0</v>
      </c>
      <c r="N14" s="39">
        <f t="shared" si="0"/>
        <v>0</v>
      </c>
      <c r="O14" s="39">
        <v>0</v>
      </c>
      <c r="P14" s="39">
        <v>0</v>
      </c>
      <c r="Q14" s="39">
        <f t="shared" si="1"/>
        <v>0</v>
      </c>
      <c r="R14" s="39">
        <f t="shared" si="5"/>
        <v>77</v>
      </c>
      <c r="S14" s="39">
        <f t="shared" si="6"/>
        <v>89</v>
      </c>
      <c r="T14" s="39">
        <f t="shared" si="7"/>
        <v>166</v>
      </c>
      <c r="U14" s="39">
        <v>61</v>
      </c>
      <c r="V14" s="45">
        <v>121</v>
      </c>
      <c r="W14" s="45">
        <v>118</v>
      </c>
      <c r="X14" s="39">
        <v>61</v>
      </c>
      <c r="Y14" s="39">
        <f t="shared" si="8"/>
        <v>3</v>
      </c>
      <c r="Z14" s="39">
        <f t="shared" si="9"/>
        <v>0</v>
      </c>
    </row>
    <row r="15" spans="1:26" ht="15.75" x14ac:dyDescent="0.25">
      <c r="A15" s="46"/>
      <c r="B15" s="46" t="s">
        <v>40</v>
      </c>
      <c r="C15" s="49">
        <f>SUM(C7:C14)</f>
        <v>911</v>
      </c>
      <c r="D15" s="49">
        <f>SUM(D7:D14)</f>
        <v>902</v>
      </c>
      <c r="E15" s="40">
        <f>SUM(E7:E14)</f>
        <v>1813</v>
      </c>
      <c r="F15" s="39">
        <f t="shared" ref="F15:K15" si="10">SUM(F7:F14)</f>
        <v>0</v>
      </c>
      <c r="G15" s="39">
        <f t="shared" si="10"/>
        <v>0</v>
      </c>
      <c r="H15" s="39">
        <f t="shared" si="10"/>
        <v>0</v>
      </c>
      <c r="I15" s="39">
        <f t="shared" si="10"/>
        <v>2</v>
      </c>
      <c r="J15" s="39">
        <f t="shared" si="10"/>
        <v>0</v>
      </c>
      <c r="K15" s="39">
        <f t="shared" si="10"/>
        <v>2</v>
      </c>
      <c r="L15" s="39">
        <f t="shared" ref="L15:Y15" si="11">SUM(L7:L14)</f>
        <v>2</v>
      </c>
      <c r="M15" s="39">
        <f t="shared" si="11"/>
        <v>2</v>
      </c>
      <c r="N15" s="39">
        <f t="shared" si="11"/>
        <v>4</v>
      </c>
      <c r="O15" s="39">
        <f t="shared" si="11"/>
        <v>2</v>
      </c>
      <c r="P15" s="39">
        <f t="shared" si="11"/>
        <v>1</v>
      </c>
      <c r="Q15" s="39">
        <f t="shared" si="11"/>
        <v>3</v>
      </c>
      <c r="R15" s="40">
        <f t="shared" si="11"/>
        <v>909</v>
      </c>
      <c r="S15" s="40">
        <f t="shared" si="11"/>
        <v>903</v>
      </c>
      <c r="T15" s="40">
        <f t="shared" si="11"/>
        <v>1812</v>
      </c>
      <c r="U15" s="47">
        <f t="shared" si="11"/>
        <v>633</v>
      </c>
      <c r="V15" s="40">
        <f t="shared" si="11"/>
        <v>1240</v>
      </c>
      <c r="W15" s="40">
        <f t="shared" si="11"/>
        <v>1221</v>
      </c>
      <c r="X15" s="40">
        <f t="shared" si="11"/>
        <v>630</v>
      </c>
      <c r="Y15" s="40">
        <f t="shared" si="11"/>
        <v>19</v>
      </c>
      <c r="Z15" s="40">
        <f>SUM(U15-X15)</f>
        <v>3</v>
      </c>
    </row>
    <row r="16" spans="1:26" x14ac:dyDescent="0.25">
      <c r="A16" s="37"/>
      <c r="B16" s="37"/>
      <c r="C16" s="37"/>
      <c r="D16" s="37"/>
      <c r="E16" s="37"/>
      <c r="F16" s="37"/>
      <c r="G16" s="37"/>
      <c r="H16" s="37"/>
      <c r="I16" s="41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8"/>
      <c r="V16" s="37"/>
      <c r="W16" s="37"/>
      <c r="X16" s="37"/>
      <c r="Y16" s="37"/>
      <c r="Z16" s="37"/>
    </row>
    <row r="17" spans="2:26" x14ac:dyDescent="0.25"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78" t="s">
        <v>91</v>
      </c>
      <c r="U17" s="79"/>
      <c r="V17" s="79"/>
      <c r="W17" s="79"/>
      <c r="X17" s="79"/>
      <c r="Y17" s="79"/>
      <c r="Z17" s="79"/>
    </row>
    <row r="18" spans="2:26" x14ac:dyDescent="0.25">
      <c r="B18" s="75" t="s">
        <v>41</v>
      </c>
      <c r="C18" s="76"/>
      <c r="D18" s="76"/>
      <c r="E18" s="76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77" t="s">
        <v>94</v>
      </c>
      <c r="U18" s="77"/>
      <c r="V18" s="77"/>
      <c r="W18" s="77"/>
      <c r="X18" s="77"/>
      <c r="Y18" s="77"/>
      <c r="Z18" s="77"/>
    </row>
    <row r="19" spans="2:26" x14ac:dyDescent="0.25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69"/>
      <c r="V19" s="75" t="s">
        <v>95</v>
      </c>
      <c r="W19" s="76"/>
      <c r="X19" s="76"/>
      <c r="Y19" s="37"/>
    </row>
    <row r="22" spans="2:26" x14ac:dyDescent="0.25">
      <c r="K22" s="48"/>
      <c r="L22" s="48"/>
      <c r="M22" s="48"/>
      <c r="N22" s="48"/>
    </row>
    <row r="23" spans="2:26" x14ac:dyDescent="0.25">
      <c r="B23" s="77" t="s">
        <v>75</v>
      </c>
      <c r="C23" s="77"/>
      <c r="D23" s="77"/>
      <c r="E23" s="7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77" t="s">
        <v>96</v>
      </c>
      <c r="U23" s="77"/>
      <c r="V23" s="77"/>
      <c r="W23" s="77"/>
      <c r="X23" s="77"/>
      <c r="Y23" s="77"/>
      <c r="Z23" s="77"/>
    </row>
    <row r="24" spans="2:26" x14ac:dyDescent="0.25">
      <c r="K24" s="48"/>
      <c r="L24" s="48"/>
      <c r="M24" s="48"/>
      <c r="N24" s="48"/>
    </row>
    <row r="25" spans="2:26" x14ac:dyDescent="0.25">
      <c r="K25" s="48"/>
      <c r="L25" s="48"/>
      <c r="M25" s="48"/>
      <c r="N25" s="48"/>
    </row>
    <row r="26" spans="2:26" x14ac:dyDescent="0.25">
      <c r="K26" s="48"/>
      <c r="L26" s="48"/>
      <c r="M26" s="48"/>
      <c r="N26" s="48"/>
    </row>
  </sheetData>
  <mergeCells count="21">
    <mergeCell ref="B18:E18"/>
    <mergeCell ref="B23:E23"/>
    <mergeCell ref="T18:Z18"/>
    <mergeCell ref="T17:Z17"/>
    <mergeCell ref="T23:Z23"/>
    <mergeCell ref="V19:X19"/>
    <mergeCell ref="A1:Z1"/>
    <mergeCell ref="A2:Z2"/>
    <mergeCell ref="A4:A6"/>
    <mergeCell ref="B4:B6"/>
    <mergeCell ref="C4:E5"/>
    <mergeCell ref="F4:Q4"/>
    <mergeCell ref="R4:T5"/>
    <mergeCell ref="U4:U6"/>
    <mergeCell ref="V4:V6"/>
    <mergeCell ref="W4:X5"/>
    <mergeCell ref="Y4:Z5"/>
    <mergeCell ref="F5:H5"/>
    <mergeCell ref="I5:K5"/>
    <mergeCell ref="L5:N5"/>
    <mergeCell ref="O5:Q5"/>
  </mergeCell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E1" zoomScale="70" zoomScaleNormal="70" workbookViewId="0">
      <selection activeCell="G24" sqref="G24"/>
    </sheetView>
  </sheetViews>
  <sheetFormatPr defaultRowHeight="15" x14ac:dyDescent="0.25"/>
  <cols>
    <col min="1" max="1" width="5.7109375" customWidth="1"/>
    <col min="2" max="2" width="24.140625" customWidth="1"/>
    <col min="3" max="3" width="29.85546875" customWidth="1"/>
    <col min="6" max="6" width="25.7109375" customWidth="1"/>
    <col min="7" max="7" width="13.42578125" customWidth="1"/>
    <col min="8" max="8" width="8.5703125" customWidth="1"/>
    <col min="9" max="9" width="7.85546875" customWidth="1"/>
    <col min="10" max="10" width="22.42578125" customWidth="1"/>
  </cols>
  <sheetData>
    <row r="1" spans="1:10" ht="18.75" x14ac:dyDescent="0.3">
      <c r="A1" s="71" t="s">
        <v>64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8.75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x14ac:dyDescent="0.25">
      <c r="A4" s="74" t="s">
        <v>1</v>
      </c>
      <c r="B4" s="74" t="s">
        <v>2</v>
      </c>
      <c r="C4" s="74" t="s">
        <v>3</v>
      </c>
      <c r="D4" s="74" t="s">
        <v>4</v>
      </c>
      <c r="E4" s="74"/>
      <c r="F4" s="74" t="s">
        <v>5</v>
      </c>
      <c r="G4" s="82" t="s">
        <v>6</v>
      </c>
      <c r="H4" s="82" t="s">
        <v>7</v>
      </c>
      <c r="I4" s="82" t="s">
        <v>8</v>
      </c>
      <c r="J4" s="82" t="s">
        <v>9</v>
      </c>
    </row>
    <row r="5" spans="1:10" ht="15.75" x14ac:dyDescent="0.25">
      <c r="A5" s="74"/>
      <c r="B5" s="74"/>
      <c r="C5" s="74"/>
      <c r="D5" s="5" t="s">
        <v>10</v>
      </c>
      <c r="E5" s="5" t="s">
        <v>11</v>
      </c>
      <c r="F5" s="74"/>
      <c r="G5" s="82"/>
      <c r="H5" s="82"/>
      <c r="I5" s="82"/>
      <c r="J5" s="82"/>
    </row>
    <row r="6" spans="1:10" x14ac:dyDescent="0.25">
      <c r="A6" s="6">
        <v>1</v>
      </c>
      <c r="B6" s="67" t="s">
        <v>87</v>
      </c>
      <c r="C6" s="68" t="s">
        <v>88</v>
      </c>
      <c r="D6" s="65" t="s">
        <v>10</v>
      </c>
      <c r="E6" s="7"/>
      <c r="F6" s="66" t="s">
        <v>89</v>
      </c>
      <c r="G6" s="66" t="s">
        <v>71</v>
      </c>
      <c r="H6" s="66" t="s">
        <v>57</v>
      </c>
      <c r="I6" s="66" t="s">
        <v>57</v>
      </c>
      <c r="J6" s="66" t="s">
        <v>86</v>
      </c>
    </row>
    <row r="7" spans="1:10" x14ac:dyDescent="0.25">
      <c r="A7" s="6">
        <v>2</v>
      </c>
      <c r="B7" s="2" t="s">
        <v>82</v>
      </c>
      <c r="C7" s="64" t="s">
        <v>83</v>
      </c>
      <c r="D7" s="65" t="s">
        <v>10</v>
      </c>
      <c r="E7" s="7"/>
      <c r="F7" s="66" t="s">
        <v>84</v>
      </c>
      <c r="G7" s="66" t="s">
        <v>71</v>
      </c>
      <c r="H7" s="66" t="s">
        <v>85</v>
      </c>
      <c r="I7" s="66" t="s">
        <v>73</v>
      </c>
      <c r="J7" s="66" t="s">
        <v>90</v>
      </c>
    </row>
    <row r="8" spans="1:10" x14ac:dyDescent="0.25">
      <c r="A8" s="6"/>
      <c r="B8" s="7"/>
      <c r="C8" s="7"/>
      <c r="D8" s="6"/>
      <c r="E8" s="7"/>
      <c r="F8" s="7"/>
      <c r="G8" s="13"/>
      <c r="H8" s="13"/>
      <c r="I8" s="13"/>
      <c r="J8" s="13"/>
    </row>
    <row r="9" spans="1:10" x14ac:dyDescent="0.25">
      <c r="A9" s="6"/>
      <c r="B9" s="7"/>
      <c r="C9" s="7"/>
      <c r="D9" s="6"/>
      <c r="E9" s="7"/>
      <c r="F9" s="7"/>
      <c r="G9" s="13"/>
      <c r="H9" s="13"/>
      <c r="I9" s="13"/>
      <c r="J9" s="13"/>
    </row>
    <row r="10" spans="1:10" x14ac:dyDescent="0.25">
      <c r="A10" s="6"/>
      <c r="B10" s="7"/>
      <c r="C10" s="7"/>
      <c r="D10" s="6"/>
      <c r="E10" s="7"/>
      <c r="F10" s="7"/>
      <c r="G10" s="13"/>
      <c r="H10" s="13"/>
      <c r="I10" s="13"/>
      <c r="J10" s="13"/>
    </row>
    <row r="11" spans="1:10" x14ac:dyDescent="0.25">
      <c r="A11" s="6"/>
      <c r="B11" s="7"/>
      <c r="C11" s="7"/>
      <c r="D11" s="6"/>
      <c r="E11" s="7"/>
      <c r="F11" s="7"/>
      <c r="G11" s="13"/>
      <c r="H11" s="13"/>
      <c r="I11" s="13"/>
      <c r="J11" s="13"/>
    </row>
    <row r="12" spans="1:10" x14ac:dyDescent="0.25">
      <c r="A12" s="8"/>
      <c r="B12" s="9"/>
      <c r="C12" s="9"/>
      <c r="D12" s="8"/>
      <c r="E12" s="9"/>
      <c r="F12" s="9"/>
      <c r="G12" s="3"/>
      <c r="H12" s="3"/>
      <c r="I12" s="3"/>
      <c r="J12" s="3"/>
    </row>
    <row r="13" spans="1:10" x14ac:dyDescent="0.25">
      <c r="A13" s="10"/>
      <c r="B13" s="11"/>
      <c r="C13" s="11"/>
      <c r="D13" s="10"/>
      <c r="E13" s="11"/>
      <c r="F13" s="11"/>
      <c r="G13" s="4"/>
      <c r="H13" s="4"/>
      <c r="I13" s="4"/>
      <c r="J13" s="4"/>
    </row>
    <row r="14" spans="1:10" x14ac:dyDescent="0.25">
      <c r="A14" s="10"/>
      <c r="B14" s="11"/>
      <c r="C14" s="11"/>
      <c r="D14" s="10"/>
      <c r="E14" s="11"/>
      <c r="F14" s="12"/>
      <c r="G14" s="4"/>
      <c r="H14" s="4"/>
      <c r="I14" s="4"/>
      <c r="J14" s="4"/>
    </row>
    <row r="15" spans="1:10" x14ac:dyDescent="0.25">
      <c r="A15" s="10"/>
      <c r="B15" s="11"/>
      <c r="C15" s="11"/>
      <c r="D15" s="10"/>
      <c r="E15" s="11"/>
      <c r="F15" s="11"/>
      <c r="G15" s="83" t="s">
        <v>92</v>
      </c>
      <c r="H15" s="84"/>
      <c r="I15" s="84"/>
      <c r="J15" s="84"/>
    </row>
    <row r="16" spans="1:10" ht="15.75" x14ac:dyDescent="0.25">
      <c r="A16" s="10"/>
      <c r="B16" s="11"/>
      <c r="C16" s="11"/>
      <c r="D16" s="10"/>
      <c r="E16" s="11"/>
      <c r="F16" s="11"/>
      <c r="G16" s="80" t="s">
        <v>94</v>
      </c>
      <c r="H16" s="80"/>
      <c r="I16" s="80"/>
      <c r="J16" s="80"/>
    </row>
    <row r="17" spans="1:10" x14ac:dyDescent="0.25">
      <c r="A17" s="10"/>
      <c r="B17" s="11"/>
      <c r="C17" s="11"/>
      <c r="D17" s="10"/>
      <c r="E17" s="11"/>
      <c r="F17" s="11"/>
      <c r="G17" s="85" t="s">
        <v>95</v>
      </c>
      <c r="H17" s="81"/>
      <c r="I17" s="81"/>
      <c r="J17" s="81"/>
    </row>
    <row r="18" spans="1:10" x14ac:dyDescent="0.25">
      <c r="A18" s="10"/>
      <c r="B18" s="11"/>
      <c r="C18" s="11"/>
      <c r="D18" s="10"/>
      <c r="E18" s="11"/>
      <c r="F18" s="11"/>
      <c r="G18" s="70"/>
      <c r="H18" s="70"/>
      <c r="I18" s="70"/>
      <c r="J18" s="70"/>
    </row>
    <row r="19" spans="1:10" x14ac:dyDescent="0.25">
      <c r="A19" s="10"/>
      <c r="B19" s="11"/>
      <c r="C19" s="11"/>
      <c r="D19" s="10"/>
      <c r="E19" s="11"/>
      <c r="F19" s="11"/>
      <c r="G19" s="70"/>
      <c r="H19" s="70"/>
      <c r="I19" s="70"/>
      <c r="J19" s="70"/>
    </row>
    <row r="20" spans="1:10" x14ac:dyDescent="0.25">
      <c r="A20" s="10"/>
      <c r="B20" s="11"/>
      <c r="C20" s="11"/>
      <c r="D20" s="10"/>
      <c r="E20" s="11"/>
      <c r="F20" s="11"/>
      <c r="G20" s="70"/>
      <c r="H20" s="70"/>
      <c r="I20" s="70"/>
      <c r="J20" s="70"/>
    </row>
    <row r="21" spans="1:10" x14ac:dyDescent="0.25">
      <c r="A21" s="10"/>
      <c r="B21" s="11"/>
      <c r="C21" s="11"/>
      <c r="D21" s="10"/>
      <c r="E21" s="11"/>
      <c r="F21" s="11"/>
      <c r="G21" s="81" t="s">
        <v>96</v>
      </c>
      <c r="H21" s="81"/>
      <c r="I21" s="81"/>
      <c r="J21" s="81"/>
    </row>
  </sheetData>
  <mergeCells count="15">
    <mergeCell ref="G16:J16"/>
    <mergeCell ref="G21:J21"/>
    <mergeCell ref="A1:J1"/>
    <mergeCell ref="A2:J2"/>
    <mergeCell ref="A4:A5"/>
    <mergeCell ref="B4:B5"/>
    <mergeCell ref="C4:C5"/>
    <mergeCell ref="D4:E4"/>
    <mergeCell ref="F4:F5"/>
    <mergeCell ref="G4:G5"/>
    <mergeCell ref="H4:H5"/>
    <mergeCell ref="I4:I5"/>
    <mergeCell ref="J4:J5"/>
    <mergeCell ref="G15:J15"/>
    <mergeCell ref="G17:J17"/>
  </mergeCells>
  <pageMargins left="0.7" right="0.7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G18" sqref="G18"/>
    </sheetView>
  </sheetViews>
  <sheetFormatPr defaultRowHeight="15" x14ac:dyDescent="0.25"/>
  <cols>
    <col min="1" max="1" width="7.28515625" customWidth="1"/>
    <col min="2" max="2" width="19.7109375" customWidth="1"/>
    <col min="3" max="3" width="25.7109375" customWidth="1"/>
    <col min="6" max="6" width="31.85546875" customWidth="1"/>
    <col min="7" max="7" width="11.5703125" customWidth="1"/>
    <col min="10" max="10" width="19.140625" customWidth="1"/>
  </cols>
  <sheetData>
    <row r="1" spans="1:10" ht="18.75" x14ac:dyDescent="0.3">
      <c r="A1" s="90" t="s">
        <v>65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18.75" x14ac:dyDescent="0.3">
      <c r="A2" s="90" t="s">
        <v>0</v>
      </c>
      <c r="B2" s="90"/>
      <c r="C2" s="90"/>
      <c r="D2" s="90"/>
      <c r="E2" s="90"/>
      <c r="F2" s="90"/>
      <c r="G2" s="90"/>
      <c r="H2" s="90"/>
      <c r="I2" s="90"/>
      <c r="J2" s="90"/>
    </row>
    <row r="3" spans="1:10" x14ac:dyDescent="0.25">
      <c r="A3" s="14"/>
      <c r="B3" s="15"/>
      <c r="C3" s="16"/>
      <c r="D3" s="16"/>
      <c r="E3" s="16"/>
      <c r="F3" s="16"/>
      <c r="G3" s="16"/>
      <c r="H3" s="15"/>
      <c r="I3" s="15"/>
      <c r="J3" s="15"/>
    </row>
    <row r="4" spans="1:10" ht="15.75" x14ac:dyDescent="0.25">
      <c r="A4" s="91" t="s">
        <v>1</v>
      </c>
      <c r="B4" s="92" t="s">
        <v>2</v>
      </c>
      <c r="C4" s="92" t="s">
        <v>3</v>
      </c>
      <c r="D4" s="92" t="s">
        <v>4</v>
      </c>
      <c r="E4" s="92"/>
      <c r="F4" s="92" t="s">
        <v>5</v>
      </c>
      <c r="G4" s="92" t="s">
        <v>6</v>
      </c>
      <c r="H4" s="92" t="s">
        <v>7</v>
      </c>
      <c r="I4" s="92" t="s">
        <v>8</v>
      </c>
      <c r="J4" s="92" t="s">
        <v>13</v>
      </c>
    </row>
    <row r="5" spans="1:10" ht="15.75" x14ac:dyDescent="0.25">
      <c r="A5" s="91"/>
      <c r="B5" s="92"/>
      <c r="C5" s="92"/>
      <c r="D5" s="17" t="s">
        <v>10</v>
      </c>
      <c r="E5" s="17" t="s">
        <v>11</v>
      </c>
      <c r="F5" s="92"/>
      <c r="G5" s="92"/>
      <c r="H5" s="92"/>
      <c r="I5" s="92"/>
      <c r="J5" s="92"/>
    </row>
    <row r="6" spans="1:10" x14ac:dyDescent="0.25">
      <c r="A6" s="28"/>
      <c r="B6" s="35"/>
      <c r="C6" s="36"/>
      <c r="D6" s="19"/>
      <c r="E6" s="18"/>
      <c r="F6" s="19"/>
      <c r="G6" s="18"/>
      <c r="H6" s="18"/>
      <c r="I6" s="18"/>
      <c r="J6" s="18"/>
    </row>
    <row r="7" spans="1:10" x14ac:dyDescent="0.25">
      <c r="A7" s="28"/>
      <c r="B7" s="35"/>
      <c r="C7" s="36"/>
      <c r="D7" s="18"/>
      <c r="E7" s="19"/>
      <c r="F7" s="19"/>
      <c r="G7" s="18"/>
      <c r="H7" s="18"/>
      <c r="I7" s="18"/>
      <c r="J7" s="18"/>
    </row>
    <row r="8" spans="1:10" x14ac:dyDescent="0.25">
      <c r="A8" s="20"/>
      <c r="B8" s="18"/>
      <c r="C8" s="19"/>
      <c r="D8" s="19"/>
      <c r="E8" s="19"/>
      <c r="F8" s="19"/>
      <c r="G8" s="19"/>
      <c r="H8" s="18"/>
      <c r="I8" s="18"/>
      <c r="J8" s="18"/>
    </row>
    <row r="9" spans="1:10" x14ac:dyDescent="0.25">
      <c r="A9" s="20"/>
      <c r="B9" s="18"/>
      <c r="C9" s="19"/>
      <c r="D9" s="19"/>
      <c r="E9" s="19"/>
      <c r="F9" s="19"/>
      <c r="G9" s="19"/>
      <c r="H9" s="18"/>
      <c r="I9" s="18"/>
      <c r="J9" s="18"/>
    </row>
    <row r="10" spans="1:10" x14ac:dyDescent="0.25">
      <c r="A10" s="20"/>
      <c r="B10" s="18"/>
      <c r="C10" s="19"/>
      <c r="D10" s="19"/>
      <c r="E10" s="19"/>
      <c r="F10" s="19"/>
      <c r="G10" s="19"/>
      <c r="H10" s="18"/>
      <c r="I10" s="18"/>
      <c r="J10" s="18"/>
    </row>
    <row r="11" spans="1:10" x14ac:dyDescent="0.25">
      <c r="A11" s="20"/>
      <c r="B11" s="18"/>
      <c r="C11" s="19"/>
      <c r="D11" s="19"/>
      <c r="E11" s="19"/>
      <c r="F11" s="19"/>
      <c r="G11" s="19"/>
      <c r="H11" s="18"/>
      <c r="I11" s="18"/>
      <c r="J11" s="18"/>
    </row>
    <row r="12" spans="1:10" x14ac:dyDescent="0.25">
      <c r="A12" s="20"/>
      <c r="B12" s="18"/>
      <c r="C12" s="19"/>
      <c r="D12" s="19"/>
      <c r="E12" s="19"/>
      <c r="F12" s="19"/>
      <c r="G12" s="19"/>
      <c r="H12" s="18"/>
      <c r="I12" s="18"/>
      <c r="J12" s="18"/>
    </row>
    <row r="13" spans="1:10" x14ac:dyDescent="0.25">
      <c r="A13" s="20"/>
      <c r="B13" s="18"/>
      <c r="C13" s="19"/>
      <c r="D13" s="19"/>
      <c r="E13" s="19"/>
      <c r="F13" s="19"/>
      <c r="G13" s="19"/>
      <c r="H13" s="18"/>
      <c r="I13" s="18"/>
      <c r="J13" s="18"/>
    </row>
    <row r="14" spans="1:10" x14ac:dyDescent="0.25">
      <c r="A14" s="21"/>
      <c r="B14" s="22"/>
      <c r="C14" s="23"/>
      <c r="D14" s="23"/>
      <c r="E14" s="23"/>
      <c r="F14" s="23"/>
      <c r="G14" s="23"/>
      <c r="H14" s="22"/>
      <c r="I14" s="22"/>
      <c r="J14" s="22"/>
    </row>
    <row r="15" spans="1:10" x14ac:dyDescent="0.25">
      <c r="A15" s="24"/>
      <c r="B15" s="25"/>
      <c r="C15" s="26"/>
      <c r="D15" s="26"/>
      <c r="E15" s="26"/>
      <c r="F15" s="26"/>
      <c r="G15" s="86" t="s">
        <v>92</v>
      </c>
      <c r="H15" s="86"/>
      <c r="I15" s="86"/>
      <c r="J15" s="25"/>
    </row>
    <row r="16" spans="1:10" ht="15.75" x14ac:dyDescent="0.25">
      <c r="A16" s="24"/>
      <c r="B16" s="25"/>
      <c r="C16" s="26"/>
      <c r="D16" s="26"/>
      <c r="E16" s="26"/>
      <c r="F16" s="26"/>
      <c r="G16" s="87" t="s">
        <v>43</v>
      </c>
      <c r="H16" s="87"/>
      <c r="I16" s="87"/>
      <c r="J16" s="25"/>
    </row>
    <row r="17" spans="1:10" ht="15.75" x14ac:dyDescent="0.25">
      <c r="A17" s="24"/>
      <c r="B17" s="25"/>
      <c r="C17" s="26"/>
      <c r="D17" s="26"/>
      <c r="E17" s="26"/>
      <c r="F17" s="26"/>
      <c r="G17" s="89"/>
      <c r="H17" s="89"/>
      <c r="I17" s="89"/>
      <c r="J17" s="25"/>
    </row>
    <row r="18" spans="1:10" ht="15.75" x14ac:dyDescent="0.25">
      <c r="A18" s="24"/>
      <c r="B18" s="25"/>
      <c r="C18" s="26"/>
      <c r="D18" s="26"/>
      <c r="E18" s="26"/>
      <c r="F18" s="26"/>
      <c r="G18" s="27"/>
      <c r="H18" s="27"/>
      <c r="I18" s="27"/>
      <c r="J18" s="25"/>
    </row>
    <row r="19" spans="1:10" x14ac:dyDescent="0.25">
      <c r="A19" s="24"/>
      <c r="B19" s="25"/>
      <c r="C19" s="26"/>
      <c r="D19" s="26"/>
      <c r="E19" s="26"/>
      <c r="F19" s="26"/>
      <c r="G19" s="26"/>
      <c r="H19" s="25"/>
      <c r="I19" s="25"/>
      <c r="J19" s="25"/>
    </row>
    <row r="20" spans="1:10" x14ac:dyDescent="0.25">
      <c r="A20" s="24"/>
      <c r="B20" s="25"/>
      <c r="C20" s="26"/>
      <c r="D20" s="26"/>
      <c r="E20" s="26"/>
      <c r="F20" s="26"/>
      <c r="G20" s="26"/>
      <c r="H20" s="25"/>
      <c r="I20" s="25"/>
      <c r="J20" s="25"/>
    </row>
    <row r="21" spans="1:10" x14ac:dyDescent="0.25">
      <c r="A21" s="24"/>
      <c r="B21" s="25"/>
      <c r="C21" s="26"/>
      <c r="D21" s="26"/>
      <c r="E21" s="26"/>
      <c r="F21" s="26"/>
      <c r="G21" s="26"/>
      <c r="H21" s="25"/>
      <c r="I21" s="25"/>
      <c r="J21" s="25"/>
    </row>
    <row r="22" spans="1:10" x14ac:dyDescent="0.25">
      <c r="A22" s="24"/>
      <c r="B22" s="25"/>
      <c r="C22" s="26"/>
      <c r="D22" s="26"/>
      <c r="E22" s="26"/>
      <c r="F22" s="26"/>
      <c r="G22" s="88" t="s">
        <v>12</v>
      </c>
      <c r="H22" s="88"/>
      <c r="I22" s="88"/>
      <c r="J22" s="25"/>
    </row>
  </sheetData>
  <mergeCells count="15">
    <mergeCell ref="G15:I15"/>
    <mergeCell ref="G16:I16"/>
    <mergeCell ref="G22:I22"/>
    <mergeCell ref="G17:I17"/>
    <mergeCell ref="A1:J1"/>
    <mergeCell ref="A2:J2"/>
    <mergeCell ref="A4:A5"/>
    <mergeCell ref="B4:B5"/>
    <mergeCell ref="C4:C5"/>
    <mergeCell ref="D4:E4"/>
    <mergeCell ref="F4:F5"/>
    <mergeCell ref="G4:G5"/>
    <mergeCell ref="H4:H5"/>
    <mergeCell ref="I4:I5"/>
    <mergeCell ref="J4:J5"/>
  </mergeCells>
  <pageMargins left="0.7" right="0.7" top="0.75" bottom="0.75" header="0.3" footer="0.3"/>
  <pageSetup paperSize="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opLeftCell="E1" zoomScale="85" zoomScaleNormal="85" workbookViewId="0">
      <selection activeCell="G19" sqref="G19"/>
    </sheetView>
  </sheetViews>
  <sheetFormatPr defaultRowHeight="15" x14ac:dyDescent="0.25"/>
  <cols>
    <col min="1" max="1" width="5.7109375" customWidth="1"/>
    <col min="2" max="2" width="20.5703125" customWidth="1"/>
    <col min="3" max="3" width="29.42578125" customWidth="1"/>
    <col min="4" max="4" width="8" style="42" customWidth="1"/>
    <col min="5" max="5" width="7.7109375" style="42" customWidth="1"/>
    <col min="6" max="6" width="26.5703125" customWidth="1"/>
    <col min="7" max="7" width="11.5703125" customWidth="1"/>
    <col min="8" max="8" width="7.42578125" customWidth="1"/>
    <col min="9" max="9" width="7.85546875" customWidth="1"/>
    <col min="10" max="10" width="21" customWidth="1"/>
  </cols>
  <sheetData>
    <row r="1" spans="1:10" ht="18.75" x14ac:dyDescent="0.3">
      <c r="A1" s="93" t="s">
        <v>66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18.75" x14ac:dyDescent="0.3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</row>
    <row r="4" spans="1:10" ht="15.75" x14ac:dyDescent="0.25">
      <c r="A4" s="82" t="s">
        <v>1</v>
      </c>
      <c r="B4" s="82" t="s">
        <v>2</v>
      </c>
      <c r="C4" s="82" t="s">
        <v>3</v>
      </c>
      <c r="D4" s="82" t="s">
        <v>4</v>
      </c>
      <c r="E4" s="82"/>
      <c r="F4" s="82" t="s">
        <v>5</v>
      </c>
      <c r="G4" s="82" t="s">
        <v>6</v>
      </c>
      <c r="H4" s="82" t="s">
        <v>7</v>
      </c>
      <c r="I4" s="82" t="s">
        <v>8</v>
      </c>
      <c r="J4" s="82" t="s">
        <v>14</v>
      </c>
    </row>
    <row r="5" spans="1:10" ht="15.75" x14ac:dyDescent="0.25">
      <c r="A5" s="82"/>
      <c r="B5" s="82"/>
      <c r="C5" s="82"/>
      <c r="D5" s="57" t="s">
        <v>10</v>
      </c>
      <c r="E5" s="57" t="s">
        <v>11</v>
      </c>
      <c r="F5" s="82"/>
      <c r="G5" s="82"/>
      <c r="H5" s="82"/>
      <c r="I5" s="82"/>
      <c r="J5" s="82"/>
    </row>
    <row r="6" spans="1:10" s="31" customFormat="1" ht="15.75" x14ac:dyDescent="0.25">
      <c r="A6" s="53" t="s">
        <v>42</v>
      </c>
      <c r="B6" s="55" t="s">
        <v>52</v>
      </c>
      <c r="C6" s="36" t="s">
        <v>48</v>
      </c>
      <c r="D6" s="57" t="s">
        <v>10</v>
      </c>
      <c r="E6" s="57"/>
      <c r="F6" s="56" t="s">
        <v>59</v>
      </c>
      <c r="G6" s="53" t="s">
        <v>45</v>
      </c>
      <c r="H6" s="54" t="s">
        <v>56</v>
      </c>
      <c r="I6" s="54" t="s">
        <v>57</v>
      </c>
      <c r="J6" s="58" t="s">
        <v>58</v>
      </c>
    </row>
    <row r="7" spans="1:10" s="31" customFormat="1" ht="15.75" x14ac:dyDescent="0.25">
      <c r="A7" s="53" t="s">
        <v>44</v>
      </c>
      <c r="B7" s="55" t="s">
        <v>53</v>
      </c>
      <c r="C7" s="36" t="s">
        <v>49</v>
      </c>
      <c r="D7" s="57"/>
      <c r="E7" s="57" t="s">
        <v>11</v>
      </c>
      <c r="F7" s="56" t="s">
        <v>60</v>
      </c>
      <c r="G7" s="53" t="s">
        <v>45</v>
      </c>
      <c r="H7" s="54" t="s">
        <v>56</v>
      </c>
      <c r="I7" s="54" t="s">
        <v>57</v>
      </c>
      <c r="J7" s="58" t="s">
        <v>58</v>
      </c>
    </row>
    <row r="8" spans="1:10" s="31" customFormat="1" ht="15.75" x14ac:dyDescent="0.25">
      <c r="A8" s="53" t="s">
        <v>46</v>
      </c>
      <c r="B8" s="55" t="s">
        <v>54</v>
      </c>
      <c r="C8" s="36" t="s">
        <v>50</v>
      </c>
      <c r="D8" s="57" t="s">
        <v>10</v>
      </c>
      <c r="E8" s="57"/>
      <c r="F8" s="56" t="s">
        <v>61</v>
      </c>
      <c r="G8" s="53" t="s">
        <v>45</v>
      </c>
      <c r="H8" s="54" t="s">
        <v>56</v>
      </c>
      <c r="I8" s="54" t="s">
        <v>57</v>
      </c>
      <c r="J8" s="58" t="s">
        <v>58</v>
      </c>
    </row>
    <row r="9" spans="1:10" s="31" customFormat="1" ht="15.75" x14ac:dyDescent="0.25">
      <c r="A9" s="53" t="s">
        <v>47</v>
      </c>
      <c r="B9" s="55" t="s">
        <v>55</v>
      </c>
      <c r="C9" s="36" t="s">
        <v>51</v>
      </c>
      <c r="D9" s="60"/>
      <c r="E9" s="60" t="s">
        <v>11</v>
      </c>
      <c r="F9" s="59" t="s">
        <v>62</v>
      </c>
      <c r="G9" s="53" t="s">
        <v>45</v>
      </c>
      <c r="H9" s="54" t="s">
        <v>56</v>
      </c>
      <c r="I9" s="54" t="s">
        <v>57</v>
      </c>
      <c r="J9" s="58" t="s">
        <v>58</v>
      </c>
    </row>
    <row r="10" spans="1:10" x14ac:dyDescent="0.25">
      <c r="A10" s="30"/>
      <c r="B10" s="30"/>
      <c r="C10" s="30"/>
      <c r="D10" s="3"/>
      <c r="E10" s="3"/>
      <c r="F10" s="30"/>
      <c r="G10" s="30"/>
      <c r="H10" s="30"/>
      <c r="I10" s="30"/>
      <c r="J10" s="30"/>
    </row>
    <row r="11" spans="1:10" x14ac:dyDescent="0.25">
      <c r="A11" s="29"/>
      <c r="B11" s="29"/>
      <c r="C11" s="29"/>
      <c r="F11" s="29"/>
      <c r="G11" s="83" t="s">
        <v>92</v>
      </c>
      <c r="H11" s="94"/>
      <c r="I11" s="94"/>
      <c r="J11" s="94"/>
    </row>
    <row r="12" spans="1:10" ht="15.75" x14ac:dyDescent="0.25">
      <c r="A12" s="29"/>
      <c r="B12" s="29"/>
      <c r="C12" s="29"/>
      <c r="F12" s="29"/>
      <c r="G12" s="80" t="s">
        <v>94</v>
      </c>
      <c r="H12" s="80"/>
      <c r="I12" s="80"/>
      <c r="J12" s="80"/>
    </row>
    <row r="13" spans="1:10" x14ac:dyDescent="0.25">
      <c r="A13" s="29"/>
      <c r="B13" s="29"/>
      <c r="C13" s="29"/>
      <c r="F13" s="29"/>
      <c r="G13" s="85" t="s">
        <v>95</v>
      </c>
      <c r="H13" s="81"/>
      <c r="I13" s="81"/>
      <c r="J13" s="81"/>
    </row>
    <row r="14" spans="1:10" x14ac:dyDescent="0.25">
      <c r="F14" s="50"/>
      <c r="G14" s="70"/>
      <c r="H14" s="70"/>
      <c r="I14" s="70"/>
      <c r="J14" s="70"/>
    </row>
    <row r="15" spans="1:10" x14ac:dyDescent="0.25">
      <c r="F15" s="50"/>
      <c r="G15" s="70"/>
      <c r="H15" s="70"/>
      <c r="I15" s="70"/>
      <c r="J15" s="70"/>
    </row>
    <row r="16" spans="1:10" x14ac:dyDescent="0.25">
      <c r="F16" s="50"/>
      <c r="G16" s="70"/>
      <c r="H16" s="70"/>
      <c r="I16" s="70"/>
      <c r="J16" s="70"/>
    </row>
    <row r="17" spans="6:10" x14ac:dyDescent="0.25">
      <c r="F17" s="50"/>
      <c r="G17" s="81" t="s">
        <v>96</v>
      </c>
      <c r="H17" s="81"/>
      <c r="I17" s="81"/>
      <c r="J17" s="81"/>
    </row>
    <row r="18" spans="6:10" x14ac:dyDescent="0.25">
      <c r="F18" s="50"/>
    </row>
  </sheetData>
  <mergeCells count="15">
    <mergeCell ref="G17:J17"/>
    <mergeCell ref="G12:J12"/>
    <mergeCell ref="A1:J1"/>
    <mergeCell ref="A2:J2"/>
    <mergeCell ref="A4:A5"/>
    <mergeCell ref="B4:B5"/>
    <mergeCell ref="C4:C5"/>
    <mergeCell ref="D4:E4"/>
    <mergeCell ref="F4:F5"/>
    <mergeCell ref="G4:G5"/>
    <mergeCell ref="H4:H5"/>
    <mergeCell ref="I4:I5"/>
    <mergeCell ref="J4:J5"/>
    <mergeCell ref="G11:J11"/>
    <mergeCell ref="G13:J13"/>
  </mergeCells>
  <pageMargins left="0.7" right="0.7" top="0.75" bottom="0.75" header="0.3" footer="0.3"/>
  <pageSetup paperSize="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D1" zoomScale="85" zoomScaleNormal="85" workbookViewId="0">
      <selection activeCell="F21" sqref="F21"/>
    </sheetView>
  </sheetViews>
  <sheetFormatPr defaultRowHeight="15" x14ac:dyDescent="0.25"/>
  <cols>
    <col min="1" max="1" width="4.42578125" customWidth="1"/>
    <col min="2" max="2" width="25.140625" customWidth="1"/>
    <col min="3" max="3" width="27.140625" customWidth="1"/>
    <col min="6" max="6" width="29.42578125" customWidth="1"/>
    <col min="7" max="7" width="12.140625" customWidth="1"/>
    <col min="8" max="8" width="7.28515625" customWidth="1"/>
    <col min="9" max="9" width="7.5703125" customWidth="1"/>
    <col min="10" max="10" width="23.28515625" customWidth="1"/>
  </cols>
  <sheetData>
    <row r="1" spans="1:10" ht="18.75" x14ac:dyDescent="0.3">
      <c r="A1" s="93" t="s">
        <v>67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18.75" x14ac:dyDescent="0.3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</row>
    <row r="4" spans="1:10" ht="15.75" x14ac:dyDescent="0.25">
      <c r="A4" s="82" t="s">
        <v>1</v>
      </c>
      <c r="B4" s="82" t="s">
        <v>2</v>
      </c>
      <c r="C4" s="82" t="s">
        <v>3</v>
      </c>
      <c r="D4" s="82" t="s">
        <v>4</v>
      </c>
      <c r="E4" s="82"/>
      <c r="F4" s="82" t="s">
        <v>5</v>
      </c>
      <c r="G4" s="82" t="s">
        <v>6</v>
      </c>
      <c r="H4" s="82" t="s">
        <v>7</v>
      </c>
      <c r="I4" s="82" t="s">
        <v>8</v>
      </c>
      <c r="J4" s="82" t="s">
        <v>15</v>
      </c>
    </row>
    <row r="5" spans="1:10" ht="15.75" x14ac:dyDescent="0.25">
      <c r="A5" s="82"/>
      <c r="B5" s="82"/>
      <c r="C5" s="82"/>
      <c r="D5" s="34" t="s">
        <v>10</v>
      </c>
      <c r="E5" s="34" t="s">
        <v>11</v>
      </c>
      <c r="F5" s="82"/>
      <c r="G5" s="82"/>
      <c r="H5" s="82"/>
      <c r="I5" s="82"/>
      <c r="J5" s="82"/>
    </row>
    <row r="6" spans="1:10" s="31" customFormat="1" ht="15.75" x14ac:dyDescent="0.25">
      <c r="A6" s="51" t="s">
        <v>42</v>
      </c>
      <c r="B6" s="35" t="s">
        <v>69</v>
      </c>
      <c r="C6" s="36" t="s">
        <v>68</v>
      </c>
      <c r="D6" s="34"/>
      <c r="E6" s="34" t="s">
        <v>11</v>
      </c>
      <c r="F6" s="53" t="s">
        <v>70</v>
      </c>
      <c r="G6" s="61" t="s">
        <v>71</v>
      </c>
      <c r="H6" s="61" t="s">
        <v>72</v>
      </c>
      <c r="I6" s="61" t="s">
        <v>73</v>
      </c>
      <c r="J6" s="51" t="s">
        <v>74</v>
      </c>
    </row>
    <row r="7" spans="1:10" s="31" customFormat="1" ht="15.75" x14ac:dyDescent="0.25">
      <c r="A7" s="51" t="s">
        <v>44</v>
      </c>
      <c r="B7" s="62" t="s">
        <v>76</v>
      </c>
      <c r="C7" s="63" t="s">
        <v>77</v>
      </c>
      <c r="D7" s="34" t="s">
        <v>10</v>
      </c>
      <c r="E7" s="34"/>
      <c r="F7" s="53" t="s">
        <v>78</v>
      </c>
      <c r="G7" s="61" t="s">
        <v>71</v>
      </c>
      <c r="H7" s="61" t="s">
        <v>72</v>
      </c>
      <c r="I7" s="61" t="s">
        <v>73</v>
      </c>
      <c r="J7" s="51"/>
    </row>
    <row r="8" spans="1:10" s="31" customFormat="1" ht="15.75" x14ac:dyDescent="0.25">
      <c r="A8" s="51" t="s">
        <v>46</v>
      </c>
      <c r="B8" s="62" t="s">
        <v>81</v>
      </c>
      <c r="C8" s="63" t="s">
        <v>80</v>
      </c>
      <c r="D8" s="34" t="s">
        <v>10</v>
      </c>
      <c r="E8" s="34"/>
      <c r="F8" s="53" t="s">
        <v>79</v>
      </c>
      <c r="G8" s="61" t="s">
        <v>71</v>
      </c>
      <c r="H8" s="61" t="s">
        <v>72</v>
      </c>
      <c r="I8" s="61" t="s">
        <v>73</v>
      </c>
      <c r="J8" s="51"/>
    </row>
    <row r="9" spans="1:10" s="31" customFormat="1" ht="15.75" x14ac:dyDescent="0.25">
      <c r="A9" s="51"/>
      <c r="B9" s="51"/>
      <c r="C9" s="51"/>
      <c r="D9" s="34"/>
      <c r="E9" s="34"/>
      <c r="F9" s="51"/>
      <c r="G9" s="51"/>
      <c r="H9" s="51"/>
      <c r="I9" s="51"/>
      <c r="J9" s="51"/>
    </row>
    <row r="10" spans="1:10" s="31" customFormat="1" ht="15.75" x14ac:dyDescent="0.25">
      <c r="A10" s="51"/>
      <c r="B10" s="51"/>
      <c r="C10" s="51"/>
      <c r="D10" s="34"/>
      <c r="E10" s="34"/>
      <c r="F10" s="51"/>
      <c r="G10" s="51"/>
      <c r="H10" s="51"/>
      <c r="I10" s="51"/>
      <c r="J10" s="51"/>
    </row>
    <row r="11" spans="1:10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</row>
    <row r="12" spans="1:10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</row>
    <row r="13" spans="1:10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x14ac:dyDescent="0.25">
      <c r="A14" s="31"/>
      <c r="B14" s="31"/>
      <c r="C14" s="31"/>
      <c r="D14" s="31"/>
      <c r="E14" s="31"/>
      <c r="F14" s="31"/>
      <c r="G14" s="83" t="s">
        <v>93</v>
      </c>
      <c r="H14" s="95"/>
      <c r="I14" s="95"/>
      <c r="J14" s="31"/>
    </row>
    <row r="15" spans="1:10" ht="15.75" x14ac:dyDescent="0.25">
      <c r="A15" s="31"/>
      <c r="B15" s="31"/>
      <c r="C15" s="31"/>
      <c r="D15" s="31"/>
      <c r="E15" s="31"/>
      <c r="F15" s="31"/>
      <c r="G15" s="80" t="s">
        <v>94</v>
      </c>
      <c r="H15" s="80"/>
      <c r="I15" s="80"/>
      <c r="J15" s="31"/>
    </row>
    <row r="16" spans="1:10" x14ac:dyDescent="0.25">
      <c r="A16" s="31"/>
      <c r="B16" s="31"/>
      <c r="C16" s="31"/>
      <c r="D16" s="31"/>
      <c r="E16" s="31"/>
      <c r="F16" s="31"/>
      <c r="G16" s="85" t="s">
        <v>95</v>
      </c>
      <c r="H16" s="81"/>
      <c r="I16" s="81"/>
      <c r="J16" s="31"/>
    </row>
    <row r="17" spans="7:9" x14ac:dyDescent="0.25">
      <c r="G17" s="70"/>
      <c r="H17" s="70"/>
      <c r="I17" s="70"/>
    </row>
    <row r="18" spans="7:9" x14ac:dyDescent="0.25">
      <c r="G18" s="70"/>
      <c r="H18" s="70"/>
      <c r="I18" s="70"/>
    </row>
    <row r="19" spans="7:9" x14ac:dyDescent="0.25">
      <c r="G19" s="70"/>
      <c r="H19" s="70"/>
      <c r="I19" s="70"/>
    </row>
    <row r="20" spans="7:9" x14ac:dyDescent="0.25">
      <c r="G20" s="81" t="s">
        <v>96</v>
      </c>
      <c r="H20" s="81"/>
      <c r="I20" s="81"/>
    </row>
  </sheetData>
  <mergeCells count="15">
    <mergeCell ref="G20:I20"/>
    <mergeCell ref="G14:I14"/>
    <mergeCell ref="G15:I15"/>
    <mergeCell ref="A1:J1"/>
    <mergeCell ref="A2:J2"/>
    <mergeCell ref="A4:A5"/>
    <mergeCell ref="B4:B5"/>
    <mergeCell ref="C4:C5"/>
    <mergeCell ref="D4:E4"/>
    <mergeCell ref="F4:F5"/>
    <mergeCell ref="G4:G5"/>
    <mergeCell ref="H4:H5"/>
    <mergeCell ref="I4:I5"/>
    <mergeCell ref="J4:J5"/>
    <mergeCell ref="G16:I16"/>
  </mergeCells>
  <pageMargins left="0.7" right="0.7" top="0.75" bottom="0.75" header="0.3" footer="0.3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REKAP</vt:lpstr>
      <vt:lpstr>MATI</vt:lpstr>
      <vt:lpstr>LAHIR</vt:lpstr>
      <vt:lpstr>DATANG</vt:lpstr>
      <vt:lpstr>PINDAH</vt:lpstr>
      <vt:lpstr>DATANG!Print_Area</vt:lpstr>
      <vt:lpstr>PINDAH!Print_Area</vt:lpstr>
      <vt:lpstr>REKAP!Print_Area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X453M</dc:creator>
  <cp:lastModifiedBy>user</cp:lastModifiedBy>
  <cp:lastPrinted>2025-08-05T07:13:05Z</cp:lastPrinted>
  <dcterms:created xsi:type="dcterms:W3CDTF">2023-07-31T01:04:55Z</dcterms:created>
  <dcterms:modified xsi:type="dcterms:W3CDTF">2026-03-02T05:46:50Z</dcterms:modified>
</cp:coreProperties>
</file>